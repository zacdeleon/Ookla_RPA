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dra\Documents\COE Final Doc\02 Demand Management\Final\"/>
    </mc:Choice>
  </mc:AlternateContent>
  <bookViews>
    <workbookView xWindow="0" yWindow="0" windowWidth="19200" windowHeight="7310"/>
  </bookViews>
  <sheets>
    <sheet name="Read Me" sheetId="9" r:id="rId1"/>
    <sheet name="Prioritization Criteria Weights" sheetId="8" r:id="rId2"/>
    <sheet name="Processes List" sheetId="5" r:id="rId3"/>
    <sheet name="Weighted List" sheetId="4" state="hidden" r:id="rId4"/>
  </sheets>
  <externalReferences>
    <externalReference r:id="rId5"/>
  </externalReferences>
  <definedNames>
    <definedName name="alquil">'[1]TALLER 32'!$H$16</definedName>
    <definedName name="Alquiler">'[1]TALLER 32'!$C$17</definedName>
    <definedName name="BASE">'[1]TALLER 24'!$A$14:$J$34</definedName>
    <definedName name="Costo_de_ventas">'[1]TALLER 32'!$C$12</definedName>
    <definedName name="costo_ven">'[1]TALLER 32'!$H$11</definedName>
    <definedName name="GASTOS">'[1]TALLER 32'!$C$16</definedName>
    <definedName name="Gastos_administrativos">'[1]TALLER 32'!$C$19</definedName>
    <definedName name="gstos_adm">'[1]TALLER 32'!$H$18</definedName>
    <definedName name="ing_bruto">'[1]TALLER 32'!$H$10</definedName>
    <definedName name="ing_oper">'[1]TALLER 32'!$H$22</definedName>
    <definedName name="Ingreso_Bruto">'[1]TALLER 32'!$C$11</definedName>
    <definedName name="INGRESO_OPERATIVO">'[1]TALLER 32'!$C$23</definedName>
    <definedName name="porc_imp">'[1]TALLER 32'!$H$24</definedName>
    <definedName name="PORCENTAJE_IMPUESTO___sobre_ingreso_operativo">'[1]TALLER 32'!$C$25</definedName>
    <definedName name="PRESUPUESTO">'[1]TALLER 32'!$B$10</definedName>
    <definedName name="Procesos">'Processes List'!$B$4:$I$65531</definedName>
    <definedName name="servic">'[1]TALLER 32'!$H$17</definedName>
    <definedName name="Servicios">'[1]TALLER 32'!$C$18</definedName>
    <definedName name="tot_gstos">'[1]TALLER 32'!$H$20</definedName>
    <definedName name="tot_imp">'[1]TALLER 32'!$H$26</definedName>
    <definedName name="TOTAL_GASTOS">'[1]TALLER 32'!$C$21</definedName>
    <definedName name="TOTAL_IMPUESTO">'[1]TALLER 32'!$C$27</definedName>
    <definedName name="util_bruta">'[1]TALLER 32'!$H$13</definedName>
    <definedName name="utilid">'[1]TALLER 32'!$H$28</definedName>
    <definedName name="UTILIDAD">'[1]TALLER 32'!$C$29</definedName>
    <definedName name="UTILIDAD_BRUTA">'[1]TALLER 32'!$C$14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8" i="5" l="1"/>
  <c r="I9" i="5"/>
  <c r="I10" i="5"/>
  <c r="I11" i="5"/>
  <c r="H1" i="5" l="1"/>
  <c r="G1" i="5"/>
  <c r="F1" i="5"/>
  <c r="E1" i="5"/>
  <c r="D1" i="5"/>
  <c r="C1" i="5"/>
  <c r="I6" i="5" l="1"/>
  <c r="I7" i="5"/>
  <c r="I5" i="5"/>
  <c r="E5" i="4"/>
  <c r="E4" i="4"/>
  <c r="E9" i="4"/>
  <c r="E8" i="4"/>
  <c r="E6" i="4"/>
  <c r="E7" i="4"/>
  <c r="E3" i="4"/>
  <c r="I4" i="4" l="1"/>
  <c r="I8" i="4"/>
  <c r="I9" i="4"/>
  <c r="I6" i="4"/>
  <c r="I3" i="4"/>
  <c r="I5" i="4"/>
  <c r="I7" i="4"/>
  <c r="G8" i="4" l="1"/>
  <c r="G5" i="4"/>
  <c r="G9" i="4"/>
  <c r="G7" i="4"/>
  <c r="G6" i="4"/>
  <c r="G3" i="4"/>
  <c r="G4" i="4"/>
  <c r="F4" i="4"/>
  <c r="F3" i="4"/>
  <c r="F8" i="4"/>
  <c r="F7" i="4"/>
  <c r="F9" i="4"/>
  <c r="H3" i="4" l="1"/>
  <c r="H4" i="4"/>
  <c r="H8" i="4"/>
  <c r="H9" i="4"/>
  <c r="H7" i="4"/>
  <c r="F5" i="4"/>
  <c r="H5" i="4" s="1"/>
  <c r="F6" i="4"/>
  <c r="H6" i="4" s="1"/>
</calcChain>
</file>

<file path=xl/sharedStrings.xml><?xml version="1.0" encoding="utf-8"?>
<sst xmlns="http://schemas.openxmlformats.org/spreadsheetml/2006/main" count="63" uniqueCount="39">
  <si>
    <t>Economic impact</t>
  </si>
  <si>
    <t>Saving</t>
  </si>
  <si>
    <t>Risk</t>
  </si>
  <si>
    <t>Complexity</t>
  </si>
  <si>
    <t>Low</t>
  </si>
  <si>
    <t>High</t>
  </si>
  <si>
    <t>Weighing</t>
  </si>
  <si>
    <t>Savings</t>
  </si>
  <si>
    <t>Risks</t>
  </si>
  <si>
    <t>Process A</t>
  </si>
  <si>
    <t>Process B</t>
  </si>
  <si>
    <t>Process C</t>
  </si>
  <si>
    <t>Process D</t>
  </si>
  <si>
    <t>Process E</t>
  </si>
  <si>
    <t>Process F</t>
  </si>
  <si>
    <t>Process G</t>
  </si>
  <si>
    <t>1.1</t>
  </si>
  <si>
    <t>1.2</t>
  </si>
  <si>
    <t>1.3</t>
  </si>
  <si>
    <t>Batch number</t>
  </si>
  <si>
    <t>Economic Impact</t>
  </si>
  <si>
    <t>Development
Days</t>
  </si>
  <si>
    <t>Allocate the number of development days per complexity.</t>
  </si>
  <si>
    <t>Allocate the weighted percentages for the weighing. The sum must be 100%.</t>
  </si>
  <si>
    <t>Allocate the weighted percentages for the economic impact. The sum must be 100%.</t>
  </si>
  <si>
    <t>Development Order</t>
  </si>
  <si>
    <t>Process Name</t>
  </si>
  <si>
    <t>Journeys</t>
  </si>
  <si>
    <t>% Phase</t>
  </si>
  <si>
    <t>Score</t>
  </si>
  <si>
    <t>Risk Avoidance</t>
  </si>
  <si>
    <t>Complexity Level</t>
  </si>
  <si>
    <t>Medium</t>
  </si>
  <si>
    <t>Process Score</t>
  </si>
  <si>
    <t>Effort</t>
  </si>
  <si>
    <t>Revenue</t>
  </si>
  <si>
    <t>Go to the the "Prioritization Criteria Weights" sheet. The parameters that are highlighted in yellow can be modified to fit the strategy of the location. The predefined values ​​are recommended if there are no special conditions. Otherwise, update the data accordingly.</t>
  </si>
  <si>
    <t>This will determine the arrangement of the prioritization</t>
  </si>
  <si>
    <t xml:space="preserve">Go to the "Processes List" sheet, and enter the required information for the prioritized processes. Process Score will be auto-computed for each process.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</si>
</sst>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\ &quot;Pta&quot;_-;\-* #,##0.00\ &quot;Pta&quot;_-;_-* &quot;-&quot;??\ &quot;Pta&quot;_-;_-@_-"/>
    <numFmt numFmtId="165" formatCode="_-* #,##0.00\ [$€-C0A]_-;\-* #,##0.00\ [$€-C0A]_-;_-* &quot;-&quot;??\ [$€-C0A]_-;_-@_-"/>
    <numFmt numFmtId="166" formatCode="_([$PHP]\ * #,##0.00_);_([$PHP]\ * \(#,##0.00\);_([$PHP]\ * &quot;-&quot;??_);_(@_)"/>
    <numFmt numFmtId="167" formatCode="#,##0.00_ ;\-#,##0.00\ "/>
  </numFmts>
  <fonts count="6" x14ac:knownFonts="1">
    <font>
      <sz val="10"/>
      <name val="Arial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7">
    <xf numFmtId="0" fontId="0" fillId="0" borderId="0" xfId="0"/>
    <xf numFmtId="0" fontId="2" fillId="3" borderId="6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4" fillId="5" borderId="0" xfId="0" applyFont="1" applyFill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9" fontId="5" fillId="0" borderId="0" xfId="0" applyNumberFormat="1" applyFont="1" applyAlignment="1">
      <alignment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5" fillId="0" borderId="4" xfId="0" applyFont="1" applyBorder="1" applyAlignment="1">
      <alignment vertical="center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165" fontId="5" fillId="0" borderId="2" xfId="1" applyNumberFormat="1" applyFont="1" applyBorder="1" applyAlignment="1">
      <alignment vertical="center"/>
    </xf>
    <xf numFmtId="0" fontId="3" fillId="2" borderId="2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vertical="center"/>
    </xf>
    <xf numFmtId="0" fontId="5" fillId="2" borderId="20" xfId="0" applyFont="1" applyFill="1" applyBorder="1" applyAlignment="1">
      <alignment vertical="center"/>
    </xf>
    <xf numFmtId="0" fontId="3" fillId="2" borderId="19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vertical="center"/>
    </xf>
    <xf numFmtId="0" fontId="3" fillId="2" borderId="2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vertical="center"/>
    </xf>
    <xf numFmtId="9" fontId="5" fillId="6" borderId="24" xfId="0" applyNumberFormat="1" applyFont="1" applyFill="1" applyBorder="1" applyAlignment="1">
      <alignment vertical="center"/>
    </xf>
    <xf numFmtId="9" fontId="5" fillId="6" borderId="15" xfId="0" applyNumberFormat="1" applyFont="1" applyFill="1" applyBorder="1" applyAlignment="1">
      <alignment vertical="center"/>
    </xf>
    <xf numFmtId="9" fontId="5" fillId="6" borderId="16" xfId="0" applyNumberFormat="1" applyFont="1" applyFill="1" applyBorder="1" applyAlignment="1">
      <alignment vertical="center"/>
    </xf>
    <xf numFmtId="9" fontId="5" fillId="6" borderId="17" xfId="0" applyNumberFormat="1" applyFont="1" applyFill="1" applyBorder="1" applyAlignment="1">
      <alignment vertical="center"/>
    </xf>
    <xf numFmtId="0" fontId="5" fillId="0" borderId="22" xfId="0" applyFont="1" applyBorder="1" applyAlignment="1">
      <alignment vertical="center"/>
    </xf>
    <xf numFmtId="0" fontId="5" fillId="0" borderId="17" xfId="0" applyFont="1" applyBorder="1" applyAlignment="1">
      <alignment horizontal="center" vertical="center"/>
    </xf>
    <xf numFmtId="0" fontId="5" fillId="0" borderId="19" xfId="0" applyFont="1" applyBorder="1" applyAlignment="1">
      <alignment vertical="center"/>
    </xf>
    <xf numFmtId="0" fontId="5" fillId="0" borderId="15" xfId="0" applyFont="1" applyBorder="1" applyAlignment="1">
      <alignment horizontal="center" vertical="center"/>
    </xf>
    <xf numFmtId="0" fontId="5" fillId="0" borderId="15" xfId="0" applyFont="1" applyBorder="1" applyAlignment="1">
      <alignment vertical="center"/>
    </xf>
    <xf numFmtId="166" fontId="5" fillId="0" borderId="4" xfId="1" applyNumberFormat="1" applyFont="1" applyBorder="1" applyAlignment="1">
      <alignment vertical="center"/>
    </xf>
    <xf numFmtId="166" fontId="5" fillId="0" borderId="2" xfId="1" applyNumberFormat="1" applyFont="1" applyBorder="1" applyAlignment="1">
      <alignment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1" fontId="2" fillId="3" borderId="10" xfId="0" applyNumberFormat="1" applyFont="1" applyFill="1" applyBorder="1" applyAlignment="1">
      <alignment horizontal="center" vertical="center"/>
    </xf>
    <xf numFmtId="2" fontId="2" fillId="3" borderId="11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vertical="center"/>
    </xf>
    <xf numFmtId="1" fontId="5" fillId="0" borderId="4" xfId="0" applyNumberFormat="1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5" fillId="0" borderId="25" xfId="0" applyFont="1" applyBorder="1" applyAlignment="1">
      <alignment vertical="center"/>
    </xf>
    <xf numFmtId="1" fontId="5" fillId="0" borderId="2" xfId="0" applyNumberFormat="1" applyFont="1" applyBorder="1" applyAlignment="1">
      <alignment vertical="center"/>
    </xf>
    <xf numFmtId="0" fontId="5" fillId="0" borderId="21" xfId="0" applyFont="1" applyBorder="1" applyAlignment="1">
      <alignment vertical="center"/>
    </xf>
    <xf numFmtId="0" fontId="5" fillId="0" borderId="16" xfId="0" applyFont="1" applyBorder="1" applyAlignment="1">
      <alignment horizontal="center" vertical="center"/>
    </xf>
    <xf numFmtId="0" fontId="5" fillId="0" borderId="20" xfId="0" applyFont="1" applyBorder="1" applyAlignment="1">
      <alignment vertical="center"/>
    </xf>
    <xf numFmtId="1" fontId="5" fillId="0" borderId="21" xfId="0" applyNumberFormat="1" applyFont="1" applyBorder="1" applyAlignment="1">
      <alignment vertical="center"/>
    </xf>
    <xf numFmtId="0" fontId="5" fillId="0" borderId="16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1" fontId="5" fillId="0" borderId="0" xfId="0" applyNumberFormat="1" applyFont="1" applyBorder="1" applyAlignment="1">
      <alignment vertical="center"/>
    </xf>
    <xf numFmtId="0" fontId="5" fillId="0" borderId="27" xfId="0" applyFont="1" applyBorder="1" applyAlignment="1">
      <alignment horizontal="center" vertical="center"/>
    </xf>
    <xf numFmtId="0" fontId="5" fillId="0" borderId="27" xfId="0" applyFont="1" applyBorder="1" applyAlignment="1">
      <alignment vertical="center"/>
    </xf>
    <xf numFmtId="166" fontId="5" fillId="0" borderId="0" xfId="0" applyNumberFormat="1" applyFont="1" applyAlignment="1">
      <alignment vertical="center"/>
    </xf>
    <xf numFmtId="10" fontId="5" fillId="0" borderId="17" xfId="0" applyNumberFormat="1" applyFont="1" applyBorder="1" applyAlignment="1">
      <alignment horizontal="center" vertical="center"/>
    </xf>
    <xf numFmtId="4" fontId="5" fillId="0" borderId="0" xfId="0" applyNumberFormat="1" applyFont="1" applyAlignment="1">
      <alignment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5" xfId="0" applyNumberFormat="1" applyFont="1" applyFill="1" applyBorder="1" applyAlignment="1">
      <alignment horizontal="center" vertical="center"/>
    </xf>
    <xf numFmtId="0" fontId="3" fillId="6" borderId="16" xfId="0" applyNumberFormat="1" applyFont="1" applyFill="1" applyBorder="1" applyAlignment="1">
      <alignment horizontal="center" vertical="center"/>
    </xf>
    <xf numFmtId="9" fontId="5" fillId="6" borderId="14" xfId="0" applyNumberFormat="1" applyFont="1" applyFill="1" applyBorder="1" applyAlignment="1">
      <alignment vertical="center"/>
    </xf>
    <xf numFmtId="167" fontId="5" fillId="0" borderId="0" xfId="0" applyNumberFormat="1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5" fillId="0" borderId="0" xfId="0" applyFont="1" applyAlignment="1">
      <alignment horizontal="left" vertical="center" wrapText="1"/>
    </xf>
    <xf numFmtId="0" fontId="2" fillId="3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9" fontId="2" fillId="3" borderId="9" xfId="0" applyNumberFormat="1" applyFont="1" applyFill="1" applyBorder="1" applyAlignment="1">
      <alignment horizontal="center" vertical="center"/>
    </xf>
    <xf numFmtId="9" fontId="2" fillId="3" borderId="10" xfId="0" applyNumberFormat="1" applyFont="1" applyFill="1" applyBorder="1" applyAlignment="1">
      <alignment horizontal="center" vertical="center"/>
    </xf>
    <xf numFmtId="9" fontId="2" fillId="3" borderId="26" xfId="0" applyNumberFormat="1" applyFont="1" applyFill="1" applyBorder="1" applyAlignment="1">
      <alignment horizontal="center" vertical="center"/>
    </xf>
    <xf numFmtId="9" fontId="2" fillId="3" borderId="11" xfId="0" applyNumberFormat="1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0" fontId="2" fillId="3" borderId="29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colors>
    <mruColors>
      <color rgb="FFFFFF99"/>
      <color rgb="FF4C7F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</xdr:colOff>
      <xdr:row>6</xdr:row>
      <xdr:rowOff>1</xdr:rowOff>
    </xdr:from>
    <xdr:to>
      <xdr:col>10</xdr:col>
      <xdr:colOff>114929</xdr:colOff>
      <xdr:row>19</xdr:row>
      <xdr:rowOff>69850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0701" y="1111251"/>
          <a:ext cx="4686928" cy="2463799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23</xdr:row>
      <xdr:rowOff>1</xdr:rowOff>
    </xdr:from>
    <xdr:to>
      <xdr:col>10</xdr:col>
      <xdr:colOff>114301</xdr:colOff>
      <xdr:row>35</xdr:row>
      <xdr:rowOff>163888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0701" y="4241801"/>
          <a:ext cx="4686300" cy="2373687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40</xdr:row>
      <xdr:rowOff>0</xdr:rowOff>
    </xdr:from>
    <xdr:to>
      <xdr:col>10</xdr:col>
      <xdr:colOff>381000</xdr:colOff>
      <xdr:row>54</xdr:row>
      <xdr:rowOff>22653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20700" y="7372350"/>
          <a:ext cx="4953000" cy="2600753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57</xdr:row>
      <xdr:rowOff>63500</xdr:rowOff>
    </xdr:from>
    <xdr:to>
      <xdr:col>13</xdr:col>
      <xdr:colOff>267127</xdr:colOff>
      <xdr:row>64</xdr:row>
      <xdr:rowOff>177800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0351" y="10566400"/>
          <a:ext cx="6947326" cy="1403350"/>
        </a:xfrm>
        <a:prstGeom prst="rect">
          <a:avLst/>
        </a:prstGeom>
      </xdr:spPr>
    </xdr:pic>
    <xdr:clientData/>
  </xdr:twoCellAnchor>
  <xdr:twoCellAnchor>
    <xdr:from>
      <xdr:col>12</xdr:col>
      <xdr:colOff>88900</xdr:colOff>
      <xdr:row>59</xdr:row>
      <xdr:rowOff>12700</xdr:rowOff>
    </xdr:from>
    <xdr:to>
      <xdr:col>13</xdr:col>
      <xdr:colOff>222250</xdr:colOff>
      <xdr:row>64</xdr:row>
      <xdr:rowOff>146050</xdr:rowOff>
    </xdr:to>
    <xdr:sp macro="" textlink="">
      <xdr:nvSpPr>
        <xdr:cNvPr id="2" name="Rectangle 1"/>
        <xdr:cNvSpPr/>
      </xdr:nvSpPr>
      <xdr:spPr bwMode="auto">
        <a:xfrm>
          <a:off x="6413500" y="10883900"/>
          <a:ext cx="749300" cy="1054100"/>
        </a:xfrm>
        <a:prstGeom prst="rect">
          <a:avLst/>
        </a:prstGeom>
        <a:noFill/>
        <a:ln w="381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P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6350</xdr:rowOff>
    </xdr:from>
    <xdr:to>
      <xdr:col>3</xdr:col>
      <xdr:colOff>749300</xdr:colOff>
      <xdr:row>7</xdr:row>
      <xdr:rowOff>4</xdr:rowOff>
    </xdr:to>
    <xdr:cxnSp macro="">
      <xdr:nvCxnSpPr>
        <xdr:cNvPr id="9" name="Conector recto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CxnSpPr/>
      </xdr:nvCxnSpPr>
      <xdr:spPr bwMode="auto">
        <a:xfrm flipV="1">
          <a:off x="2413000" y="381000"/>
          <a:ext cx="749300" cy="93345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6287</xdr:colOff>
      <xdr:row>8</xdr:row>
      <xdr:rowOff>1</xdr:rowOff>
    </xdr:to>
    <xdr:cxnSp macro="">
      <xdr:nvCxnSpPr>
        <xdr:cNvPr id="10" name="Conector recto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CxnSpPr/>
      </xdr:nvCxnSpPr>
      <xdr:spPr bwMode="auto">
        <a:xfrm flipV="1">
          <a:off x="2407970" y="1301436"/>
          <a:ext cx="760743" cy="182327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0</xdr:colOff>
      <xdr:row>8</xdr:row>
      <xdr:rowOff>9525</xdr:rowOff>
    </xdr:from>
    <xdr:to>
      <xdr:col>4</xdr:col>
      <xdr:colOff>0</xdr:colOff>
      <xdr:row>10</xdr:row>
      <xdr:rowOff>0</xdr:rowOff>
    </xdr:to>
    <xdr:cxnSp macro="">
      <xdr:nvCxnSpPr>
        <xdr:cNvPr id="16" name="Conector recto 1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CxnSpPr/>
      </xdr:nvCxnSpPr>
      <xdr:spPr bwMode="auto">
        <a:xfrm>
          <a:off x="2809875" y="1371600"/>
          <a:ext cx="723900" cy="333375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3</xdr:col>
      <xdr:colOff>0</xdr:colOff>
      <xdr:row>8</xdr:row>
      <xdr:rowOff>152401</xdr:rowOff>
    </xdr:from>
    <xdr:to>
      <xdr:col>3</xdr:col>
      <xdr:colOff>748169</xdr:colOff>
      <xdr:row>19</xdr:row>
      <xdr:rowOff>282920</xdr:rowOff>
    </xdr:to>
    <xdr:cxnSp macro="">
      <xdr:nvCxnSpPr>
        <xdr:cNvPr id="19" name="Conector recto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CxnSpPr/>
      </xdr:nvCxnSpPr>
      <xdr:spPr bwMode="auto">
        <a:xfrm>
          <a:off x="2407970" y="1636163"/>
          <a:ext cx="748169" cy="233730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rganizar/Unidad%20E/Archivos%20Personales/Docencia/Ejercicios%20y%20conceptos%20Cursos%20Coldecon/M&#243;dulo%202,%20Excel%20Avanzado,%20Access%20e%20Internet%20Avanzado/Excel/Tablas%20Din&#225;micas/Talleres%20otr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LLERES"/>
      <sheetName val="TALLER 15"/>
      <sheetName val="TALLER 18"/>
      <sheetName val="TALLER 19"/>
      <sheetName val="TALLER 20"/>
      <sheetName val="TALLER 21"/>
      <sheetName val="TALLER 22"/>
      <sheetName val="TALLER 23"/>
      <sheetName val="TALLER 24"/>
      <sheetName val="TALLER 28"/>
      <sheetName val="TABLA TALLER 24"/>
      <sheetName val="TALLER 31"/>
      <sheetName val="TALLER 3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4">
          <cell r="A14" t="str">
            <v>ID - Empleado</v>
          </cell>
          <cell r="B14" t="str">
            <v>Apellido</v>
          </cell>
          <cell r="C14" t="str">
            <v>Nombre</v>
          </cell>
          <cell r="D14" t="str">
            <v>Empleo</v>
          </cell>
          <cell r="E14" t="str">
            <v>Departam.</v>
          </cell>
          <cell r="F14" t="str">
            <v>Seccion</v>
          </cell>
          <cell r="G14" t="str">
            <v>Salario</v>
          </cell>
          <cell r="H14" t="str">
            <v>fecha comienzo</v>
          </cell>
          <cell r="I14" t="str">
            <v>Bajas por enferm</v>
          </cell>
          <cell r="J14" t="str">
            <v>VAA</v>
          </cell>
        </row>
        <row r="15">
          <cell r="A15">
            <v>1967</v>
          </cell>
          <cell r="B15" t="str">
            <v>Aruda</v>
          </cell>
          <cell r="C15" t="str">
            <v>Felice</v>
          </cell>
          <cell r="D15" t="str">
            <v>Aux. Admtivo</v>
          </cell>
          <cell r="E15" t="str">
            <v>Admon</v>
          </cell>
          <cell r="F15" t="str">
            <v>Copiadora</v>
          </cell>
          <cell r="G15">
            <v>23212</v>
          </cell>
          <cell r="H15">
            <v>33492</v>
          </cell>
          <cell r="I15">
            <v>6</v>
          </cell>
          <cell r="J15">
            <v>7</v>
          </cell>
        </row>
        <row r="16">
          <cell r="A16">
            <v>1792</v>
          </cell>
          <cell r="B16" t="str">
            <v>Barton</v>
          </cell>
          <cell r="C16" t="str">
            <v>Eileen</v>
          </cell>
          <cell r="D16" t="str">
            <v>Espec. Diseño</v>
          </cell>
          <cell r="E16" t="str">
            <v>Diseño</v>
          </cell>
          <cell r="F16" t="str">
            <v>Copiadora</v>
          </cell>
          <cell r="G16">
            <v>37489</v>
          </cell>
          <cell r="H16">
            <v>33231</v>
          </cell>
          <cell r="I16">
            <v>4</v>
          </cell>
          <cell r="J16">
            <v>10</v>
          </cell>
        </row>
        <row r="17">
          <cell r="A17">
            <v>1167</v>
          </cell>
          <cell r="B17" t="str">
            <v>Berwick</v>
          </cell>
          <cell r="C17" t="str">
            <v>Sam</v>
          </cell>
          <cell r="D17" t="str">
            <v>Representante</v>
          </cell>
          <cell r="E17" t="str">
            <v>Mercado</v>
          </cell>
          <cell r="F17" t="str">
            <v>Copiadora</v>
          </cell>
          <cell r="G17">
            <v>31914</v>
          </cell>
          <cell r="H17">
            <v>33346</v>
          </cell>
          <cell r="I17">
            <v>4</v>
          </cell>
          <cell r="J17">
            <v>0</v>
          </cell>
        </row>
        <row r="18">
          <cell r="A18">
            <v>1169</v>
          </cell>
          <cell r="B18" t="str">
            <v>Dorfberg</v>
          </cell>
          <cell r="C18" t="str">
            <v>Jeremy</v>
          </cell>
          <cell r="D18" t="str">
            <v>Ing. Software</v>
          </cell>
          <cell r="E18" t="str">
            <v>ingenieria</v>
          </cell>
          <cell r="F18" t="str">
            <v>Copiadora</v>
          </cell>
          <cell r="G18">
            <v>34002</v>
          </cell>
          <cell r="H18">
            <v>33890</v>
          </cell>
          <cell r="I18">
            <v>0</v>
          </cell>
          <cell r="J18">
            <v>15</v>
          </cell>
        </row>
        <row r="19">
          <cell r="A19">
            <v>1975</v>
          </cell>
          <cell r="B19" t="str">
            <v>franklin</v>
          </cell>
          <cell r="C19" t="str">
            <v xml:space="preserve">Larry </v>
          </cell>
          <cell r="D19" t="str">
            <v>Aux. contable</v>
          </cell>
          <cell r="E19" t="str">
            <v>Contabilidad</v>
          </cell>
          <cell r="F19" t="str">
            <v>Copiadora</v>
          </cell>
          <cell r="G19">
            <v>21888</v>
          </cell>
          <cell r="H19">
            <v>33365</v>
          </cell>
          <cell r="I19">
            <v>0</v>
          </cell>
          <cell r="J19">
            <v>15</v>
          </cell>
        </row>
        <row r="20">
          <cell r="A20">
            <v>1968</v>
          </cell>
          <cell r="B20" t="str">
            <v>Martinez</v>
          </cell>
          <cell r="C20" t="str">
            <v>Sara</v>
          </cell>
          <cell r="D20" t="str">
            <v>Respons. Prod</v>
          </cell>
          <cell r="E20" t="str">
            <v>Mercado</v>
          </cell>
          <cell r="F20" t="str">
            <v>Copiadora</v>
          </cell>
          <cell r="G20">
            <v>33301</v>
          </cell>
          <cell r="H20">
            <v>33970</v>
          </cell>
          <cell r="I20">
            <v>2</v>
          </cell>
          <cell r="J20">
            <v>15</v>
          </cell>
        </row>
        <row r="21">
          <cell r="A21">
            <v>1675</v>
          </cell>
          <cell r="B21" t="str">
            <v>Miller</v>
          </cell>
          <cell r="C21" t="str">
            <v>Janet</v>
          </cell>
          <cell r="D21" t="str">
            <v>Representante</v>
          </cell>
          <cell r="E21" t="str">
            <v>Mercado</v>
          </cell>
          <cell r="F21" t="str">
            <v>Copiadora</v>
          </cell>
          <cell r="G21">
            <v>37896</v>
          </cell>
          <cell r="H21">
            <v>29885</v>
          </cell>
          <cell r="I21">
            <v>0</v>
          </cell>
          <cell r="J21">
            <v>15</v>
          </cell>
        </row>
        <row r="22">
          <cell r="A22">
            <v>1931</v>
          </cell>
          <cell r="B22" t="str">
            <v>Mueller</v>
          </cell>
          <cell r="C22" t="str">
            <v>Ursula</v>
          </cell>
          <cell r="D22" t="str">
            <v>Contable</v>
          </cell>
          <cell r="E22" t="str">
            <v>Contabilidad</v>
          </cell>
          <cell r="F22" t="str">
            <v>Copiadora</v>
          </cell>
          <cell r="G22">
            <v>26101</v>
          </cell>
          <cell r="H22">
            <v>32679</v>
          </cell>
          <cell r="I22">
            <v>0</v>
          </cell>
          <cell r="J22">
            <v>0</v>
          </cell>
        </row>
        <row r="23">
          <cell r="A23">
            <v>1676</v>
          </cell>
          <cell r="B23" t="str">
            <v>Wells</v>
          </cell>
          <cell r="C23" t="str">
            <v>Jason</v>
          </cell>
          <cell r="D23" t="str">
            <v>Aux. Admtivo</v>
          </cell>
          <cell r="E23" t="str">
            <v>Admon</v>
          </cell>
          <cell r="F23" t="str">
            <v>Copiadora</v>
          </cell>
          <cell r="G23">
            <v>23239</v>
          </cell>
          <cell r="H23">
            <v>33529</v>
          </cell>
          <cell r="I23">
            <v>5</v>
          </cell>
          <cell r="J23">
            <v>0</v>
          </cell>
        </row>
        <row r="24">
          <cell r="A24">
            <v>1793</v>
          </cell>
          <cell r="B24" t="str">
            <v>Able</v>
          </cell>
          <cell r="C24" t="str">
            <v>Aaron</v>
          </cell>
          <cell r="D24" t="str">
            <v>Aux Admtivo</v>
          </cell>
          <cell r="E24" t="str">
            <v>Admon</v>
          </cell>
          <cell r="F24" t="str">
            <v>fax</v>
          </cell>
          <cell r="G24">
            <v>28859</v>
          </cell>
          <cell r="H24">
            <v>33588</v>
          </cell>
          <cell r="I24">
            <v>3</v>
          </cell>
          <cell r="J24">
            <v>0</v>
          </cell>
        </row>
        <row r="25">
          <cell r="A25">
            <v>1814</v>
          </cell>
          <cell r="B25" t="str">
            <v>Al- Sabah</v>
          </cell>
          <cell r="C25" t="str">
            <v>Daoud</v>
          </cell>
          <cell r="D25" t="str">
            <v>Aux. Tecnico</v>
          </cell>
          <cell r="E25" t="str">
            <v>ingenieria</v>
          </cell>
          <cell r="F25" t="str">
            <v>fax</v>
          </cell>
          <cell r="G25">
            <v>35989</v>
          </cell>
          <cell r="H25">
            <v>32571</v>
          </cell>
          <cell r="I25">
            <v>1</v>
          </cell>
          <cell r="J25">
            <v>7</v>
          </cell>
        </row>
        <row r="26">
          <cell r="A26">
            <v>1168</v>
          </cell>
          <cell r="B26" t="str">
            <v>Asonte</v>
          </cell>
          <cell r="C26" t="str">
            <v>Toni</v>
          </cell>
          <cell r="D26" t="str">
            <v>Aux. Admin unid.</v>
          </cell>
          <cell r="E26" t="str">
            <v>ingenieria</v>
          </cell>
          <cell r="F26" t="str">
            <v>fax</v>
          </cell>
          <cell r="G26">
            <v>23036</v>
          </cell>
          <cell r="H26">
            <v>33338</v>
          </cell>
          <cell r="I26">
            <v>1</v>
          </cell>
          <cell r="J26">
            <v>0</v>
          </cell>
        </row>
        <row r="27">
          <cell r="A27">
            <v>7966</v>
          </cell>
          <cell r="B27" t="str">
            <v>Corwick</v>
          </cell>
          <cell r="C27" t="str">
            <v>Robin</v>
          </cell>
          <cell r="D27" t="str">
            <v>Aux Diseño</v>
          </cell>
          <cell r="E27" t="str">
            <v>Diseño</v>
          </cell>
          <cell r="F27" t="str">
            <v>fax</v>
          </cell>
          <cell r="G27">
            <v>35480</v>
          </cell>
          <cell r="H27">
            <v>33559</v>
          </cell>
          <cell r="I27">
            <v>0</v>
          </cell>
          <cell r="J27">
            <v>10</v>
          </cell>
        </row>
        <row r="28">
          <cell r="A28">
            <v>1794</v>
          </cell>
          <cell r="B28" t="str">
            <v>Goldberg</v>
          </cell>
          <cell r="C28" t="str">
            <v>Malcolm</v>
          </cell>
          <cell r="D28" t="str">
            <v>Respons. Prod</v>
          </cell>
          <cell r="E28" t="str">
            <v>Mercado</v>
          </cell>
          <cell r="F28" t="str">
            <v>fax</v>
          </cell>
          <cell r="G28">
            <v>34689</v>
          </cell>
          <cell r="H28">
            <v>31034</v>
          </cell>
          <cell r="I28">
            <v>1</v>
          </cell>
          <cell r="J28">
            <v>15</v>
          </cell>
        </row>
        <row r="29">
          <cell r="A29">
            <v>1426</v>
          </cell>
          <cell r="B29" t="str">
            <v>Lampstone</v>
          </cell>
          <cell r="C29" t="str">
            <v>Pete</v>
          </cell>
          <cell r="D29" t="str">
            <v>Representante</v>
          </cell>
          <cell r="E29" t="str">
            <v>Mercado</v>
          </cell>
          <cell r="F29" t="str">
            <v>fax</v>
          </cell>
          <cell r="G29">
            <v>25147</v>
          </cell>
          <cell r="H29">
            <v>28346</v>
          </cell>
          <cell r="I29">
            <v>2</v>
          </cell>
          <cell r="J29">
            <v>7</v>
          </cell>
        </row>
        <row r="30">
          <cell r="A30">
            <v>1677</v>
          </cell>
          <cell r="B30" t="str">
            <v>Levine</v>
          </cell>
          <cell r="C30" t="str">
            <v>Eric</v>
          </cell>
          <cell r="D30" t="str">
            <v>Investigador</v>
          </cell>
          <cell r="E30" t="str">
            <v>Ing + Diseño</v>
          </cell>
          <cell r="F30" t="str">
            <v>fax</v>
          </cell>
          <cell r="G30">
            <v>24180</v>
          </cell>
          <cell r="H30">
            <v>31939</v>
          </cell>
          <cell r="I30">
            <v>0</v>
          </cell>
          <cell r="J30">
            <v>7</v>
          </cell>
        </row>
        <row r="31">
          <cell r="A31">
            <v>1816</v>
          </cell>
          <cell r="B31" t="str">
            <v>Lin</v>
          </cell>
          <cell r="C31" t="str">
            <v>Michael</v>
          </cell>
          <cell r="D31" t="str">
            <v>Ing. Software</v>
          </cell>
          <cell r="E31" t="str">
            <v>ingenieria</v>
          </cell>
          <cell r="F31" t="str">
            <v>fax</v>
          </cell>
          <cell r="G31">
            <v>21304</v>
          </cell>
          <cell r="H31">
            <v>33092</v>
          </cell>
          <cell r="I31">
            <v>0</v>
          </cell>
          <cell r="J31">
            <v>0</v>
          </cell>
        </row>
        <row r="32">
          <cell r="A32">
            <v>1075</v>
          </cell>
          <cell r="B32" t="str">
            <v>Kane</v>
          </cell>
          <cell r="C32" t="str">
            <v>Shreryl</v>
          </cell>
          <cell r="D32" t="str">
            <v>Aux Diseño</v>
          </cell>
          <cell r="E32" t="str">
            <v>Diseño</v>
          </cell>
          <cell r="F32" t="str">
            <v>impresoras</v>
          </cell>
          <cell r="G32">
            <v>23239</v>
          </cell>
          <cell r="H32">
            <v>33793</v>
          </cell>
          <cell r="I32">
            <v>3</v>
          </cell>
          <cell r="J32">
            <v>0</v>
          </cell>
        </row>
        <row r="33">
          <cell r="A33">
            <v>1976</v>
          </cell>
          <cell r="B33" t="str">
            <v>Petry</v>
          </cell>
          <cell r="C33" t="str">
            <v>Robin</v>
          </cell>
          <cell r="D33" t="str">
            <v>Aux. Admin unid.</v>
          </cell>
          <cell r="E33" t="str">
            <v>ingenieria</v>
          </cell>
          <cell r="F33" t="str">
            <v>impresoras</v>
          </cell>
          <cell r="G33">
            <v>23036</v>
          </cell>
          <cell r="H33">
            <v>33357</v>
          </cell>
          <cell r="I33">
            <v>3</v>
          </cell>
          <cell r="J33">
            <v>0</v>
          </cell>
        </row>
        <row r="34">
          <cell r="A34">
            <v>1530</v>
          </cell>
          <cell r="B34" t="str">
            <v>Stewart</v>
          </cell>
          <cell r="C34" t="str">
            <v>Ian</v>
          </cell>
          <cell r="D34" t="str">
            <v>Aux. Admon</v>
          </cell>
          <cell r="E34" t="str">
            <v>Admon</v>
          </cell>
          <cell r="F34" t="str">
            <v>impresoras</v>
          </cell>
          <cell r="G34">
            <v>23212</v>
          </cell>
          <cell r="H34">
            <v>33258</v>
          </cell>
          <cell r="I34">
            <v>0</v>
          </cell>
          <cell r="J34">
            <v>15</v>
          </cell>
        </row>
      </sheetData>
      <sheetData sheetId="9"/>
      <sheetData sheetId="10"/>
      <sheetData sheetId="11"/>
      <sheetData sheetId="12">
        <row r="10">
          <cell r="B10" t="str">
            <v>PRESUPUESTO</v>
          </cell>
        </row>
        <row r="11">
          <cell r="C11">
            <v>8500000</v>
          </cell>
        </row>
        <row r="12">
          <cell r="C12">
            <v>2771000</v>
          </cell>
        </row>
        <row r="14">
          <cell r="C14">
            <v>5729000</v>
          </cell>
        </row>
        <row r="17">
          <cell r="C17">
            <v>1200000</v>
          </cell>
        </row>
        <row r="18">
          <cell r="C18">
            <v>800000</v>
          </cell>
        </row>
        <row r="19">
          <cell r="C19">
            <v>850000</v>
          </cell>
        </row>
        <row r="21">
          <cell r="C21">
            <v>2850000</v>
          </cell>
        </row>
        <row r="23">
          <cell r="C23">
            <v>2879000</v>
          </cell>
        </row>
        <row r="25">
          <cell r="C25">
            <v>0.125</v>
          </cell>
        </row>
        <row r="27">
          <cell r="C27">
            <v>359875</v>
          </cell>
        </row>
        <row r="29">
          <cell r="C29">
            <v>2519125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W82"/>
  <sheetViews>
    <sheetView showGridLines="0" tabSelected="1" topLeftCell="A47" workbookViewId="0">
      <selection activeCell="Q63" sqref="Q63"/>
    </sheetView>
  </sheetViews>
  <sheetFormatPr defaultColWidth="8.81640625" defaultRowHeight="14.5" x14ac:dyDescent="0.25"/>
  <cols>
    <col min="1" max="1" width="3.7265625" style="4" customWidth="1"/>
    <col min="2" max="2" width="3.7265625" style="5" customWidth="1"/>
    <col min="3" max="3" width="3.7265625" style="4" customWidth="1"/>
    <col min="4" max="16384" width="8.81640625" style="4"/>
  </cols>
  <sheetData>
    <row r="2" spans="2:23" ht="15" customHeight="1" x14ac:dyDescent="0.25">
      <c r="B2" s="3">
        <v>1</v>
      </c>
      <c r="C2" s="72" t="s">
        <v>36</v>
      </c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</row>
    <row r="3" spans="2:23" x14ac:dyDescent="0.25"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  <c r="W3" s="72"/>
    </row>
    <row r="5" spans="2:23" x14ac:dyDescent="0.25">
      <c r="C5" s="6" t="s">
        <v>16</v>
      </c>
      <c r="D5" s="4" t="s">
        <v>23</v>
      </c>
    </row>
    <row r="22" spans="3:4" x14ac:dyDescent="0.25">
      <c r="C22" s="6" t="s">
        <v>17</v>
      </c>
      <c r="D22" s="4" t="s">
        <v>24</v>
      </c>
    </row>
    <row r="39" spans="3:4" x14ac:dyDescent="0.25">
      <c r="C39" s="6" t="s">
        <v>18</v>
      </c>
      <c r="D39" s="4" t="s">
        <v>22</v>
      </c>
    </row>
    <row r="56" spans="2:3" x14ac:dyDescent="0.25">
      <c r="B56" s="3">
        <v>2</v>
      </c>
      <c r="C56" s="4" t="s">
        <v>38</v>
      </c>
    </row>
    <row r="57" spans="2:3" x14ac:dyDescent="0.25">
      <c r="C57" s="4" t="s">
        <v>37</v>
      </c>
    </row>
    <row r="69" spans="2:5" x14ac:dyDescent="0.25">
      <c r="B69" s="70"/>
      <c r="C69" s="71"/>
      <c r="D69" s="71"/>
      <c r="E69" s="71"/>
    </row>
    <row r="82" spans="2:2" x14ac:dyDescent="0.25">
      <c r="B82" s="70"/>
    </row>
  </sheetData>
  <mergeCells count="1">
    <mergeCell ref="C2:W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H21"/>
  <sheetViews>
    <sheetView showGridLines="0" zoomScaleNormal="100" workbookViewId="0">
      <selection activeCell="E22" sqref="E22"/>
    </sheetView>
  </sheetViews>
  <sheetFormatPr defaultColWidth="10.81640625" defaultRowHeight="14.5" x14ac:dyDescent="0.25"/>
  <cols>
    <col min="1" max="1" width="3.7265625" style="4" customWidth="1"/>
    <col min="2" max="2" width="19.81640625" style="4" bestFit="1" customWidth="1"/>
    <col min="3" max="3" width="11" style="4" bestFit="1" customWidth="1"/>
    <col min="4" max="4" width="10.81640625" style="4" customWidth="1"/>
    <col min="5" max="5" width="16.81640625" style="7" customWidth="1"/>
    <col min="6" max="6" width="14" style="4" customWidth="1"/>
    <col min="7" max="7" width="14.90625" style="4" bestFit="1" customWidth="1"/>
    <col min="8" max="8" width="16" style="4" customWidth="1"/>
    <col min="9" max="16384" width="10.81640625" style="4"/>
  </cols>
  <sheetData>
    <row r="2" spans="2:8" ht="15" thickBot="1" x14ac:dyDescent="0.3"/>
    <row r="3" spans="2:8" ht="15" thickBot="1" x14ac:dyDescent="0.3">
      <c r="E3" s="73" t="s">
        <v>20</v>
      </c>
      <c r="F3" s="74"/>
    </row>
    <row r="4" spans="2:8" x14ac:dyDescent="0.25">
      <c r="E4" s="24" t="s">
        <v>1</v>
      </c>
      <c r="F4" s="31">
        <v>0.25</v>
      </c>
    </row>
    <row r="5" spans="2:8" x14ac:dyDescent="0.25">
      <c r="E5" s="24" t="s">
        <v>35</v>
      </c>
      <c r="F5" s="31">
        <v>0.25</v>
      </c>
    </row>
    <row r="6" spans="2:8" ht="15" thickBot="1" x14ac:dyDescent="0.3">
      <c r="E6" s="24" t="s">
        <v>30</v>
      </c>
      <c r="F6" s="31">
        <v>0.25</v>
      </c>
    </row>
    <row r="7" spans="2:8" ht="15" thickBot="1" x14ac:dyDescent="0.3">
      <c r="B7" s="75" t="s">
        <v>6</v>
      </c>
      <c r="C7" s="76"/>
      <c r="E7" s="20" t="s">
        <v>2</v>
      </c>
      <c r="F7" s="68">
        <v>0.25</v>
      </c>
    </row>
    <row r="8" spans="2:8" x14ac:dyDescent="0.25">
      <c r="B8" s="27" t="s">
        <v>0</v>
      </c>
      <c r="C8" s="28">
        <v>0.5</v>
      </c>
      <c r="D8" s="8"/>
    </row>
    <row r="9" spans="2:8" x14ac:dyDescent="0.25">
      <c r="B9" s="19" t="s">
        <v>31</v>
      </c>
      <c r="C9" s="29">
        <v>0.4</v>
      </c>
      <c r="D9" s="9"/>
    </row>
    <row r="10" spans="2:8" ht="15" thickBot="1" x14ac:dyDescent="0.3">
      <c r="B10" s="20" t="s">
        <v>19</v>
      </c>
      <c r="C10" s="30">
        <v>0.1</v>
      </c>
      <c r="D10" s="9"/>
    </row>
    <row r="11" spans="2:8" ht="29.5" thickBot="1" x14ac:dyDescent="0.3">
      <c r="E11" s="1" t="s">
        <v>3</v>
      </c>
      <c r="F11" s="1" t="s">
        <v>34</v>
      </c>
      <c r="G11" s="1" t="s">
        <v>31</v>
      </c>
      <c r="H11" s="2" t="s">
        <v>21</v>
      </c>
    </row>
    <row r="12" spans="2:8" x14ac:dyDescent="0.25">
      <c r="E12" s="25" t="s">
        <v>4</v>
      </c>
      <c r="F12" s="26" t="s">
        <v>4</v>
      </c>
      <c r="G12" s="26">
        <v>1</v>
      </c>
      <c r="H12" s="65">
        <v>7</v>
      </c>
    </row>
    <row r="13" spans="2:8" x14ac:dyDescent="0.25">
      <c r="E13" s="21" t="s">
        <v>4</v>
      </c>
      <c r="F13" s="18" t="s">
        <v>32</v>
      </c>
      <c r="G13" s="18">
        <v>2</v>
      </c>
      <c r="H13" s="66">
        <v>14</v>
      </c>
    </row>
    <row r="14" spans="2:8" x14ac:dyDescent="0.25">
      <c r="E14" s="21" t="s">
        <v>4</v>
      </c>
      <c r="F14" s="18" t="s">
        <v>5</v>
      </c>
      <c r="G14" s="18">
        <v>3</v>
      </c>
      <c r="H14" s="66">
        <v>14</v>
      </c>
    </row>
    <row r="15" spans="2:8" x14ac:dyDescent="0.25">
      <c r="E15" s="21" t="s">
        <v>32</v>
      </c>
      <c r="F15" s="26" t="s">
        <v>4</v>
      </c>
      <c r="G15" s="18">
        <v>4</v>
      </c>
      <c r="H15" s="66">
        <v>21</v>
      </c>
    </row>
    <row r="16" spans="2:8" x14ac:dyDescent="0.25">
      <c r="E16" s="21" t="s">
        <v>32</v>
      </c>
      <c r="F16" s="18" t="s">
        <v>32</v>
      </c>
      <c r="G16" s="18">
        <v>5</v>
      </c>
      <c r="H16" s="66">
        <v>25</v>
      </c>
    </row>
    <row r="17" spans="5:8" x14ac:dyDescent="0.25">
      <c r="E17" s="21" t="s">
        <v>32</v>
      </c>
      <c r="F17" s="18" t="s">
        <v>5</v>
      </c>
      <c r="G17" s="18">
        <v>6</v>
      </c>
      <c r="H17" s="66">
        <v>28</v>
      </c>
    </row>
    <row r="18" spans="5:8" x14ac:dyDescent="0.25">
      <c r="E18" s="21" t="s">
        <v>5</v>
      </c>
      <c r="F18" s="26" t="s">
        <v>4</v>
      </c>
      <c r="G18" s="18">
        <v>7</v>
      </c>
      <c r="H18" s="66">
        <v>28</v>
      </c>
    </row>
    <row r="19" spans="5:8" x14ac:dyDescent="0.25">
      <c r="E19" s="21" t="s">
        <v>5</v>
      </c>
      <c r="F19" s="18" t="s">
        <v>32</v>
      </c>
      <c r="G19" s="18">
        <v>8</v>
      </c>
      <c r="H19" s="66">
        <v>35</v>
      </c>
    </row>
    <row r="20" spans="5:8" ht="23.25" customHeight="1" thickBot="1" x14ac:dyDescent="0.3">
      <c r="E20" s="22" t="s">
        <v>5</v>
      </c>
      <c r="F20" s="23" t="s">
        <v>5</v>
      </c>
      <c r="G20" s="23">
        <v>9</v>
      </c>
      <c r="H20" s="67">
        <v>42</v>
      </c>
    </row>
    <row r="21" spans="5:8" ht="12.75" customHeight="1" x14ac:dyDescent="0.25"/>
  </sheetData>
  <mergeCells count="2">
    <mergeCell ref="E3:F3"/>
    <mergeCell ref="B7:C7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J16"/>
  <sheetViews>
    <sheetView showGridLines="0" topLeftCell="A2" zoomScale="115" zoomScaleNormal="115" workbookViewId="0">
      <selection activeCell="I5" sqref="I5"/>
    </sheetView>
  </sheetViews>
  <sheetFormatPr defaultColWidth="10.81640625" defaultRowHeight="14.5" x14ac:dyDescent="0.25"/>
  <cols>
    <col min="1" max="1" width="3.7265625" style="4" customWidth="1"/>
    <col min="2" max="2" width="33" style="34" bestFit="1" customWidth="1"/>
    <col min="3" max="3" width="18.453125" style="15" bestFit="1" customWidth="1"/>
    <col min="4" max="4" width="14.90625" style="15" bestFit="1" customWidth="1"/>
    <col min="5" max="5" width="14.7265625" style="15" customWidth="1"/>
    <col min="6" max="6" width="15.7265625" style="15" bestFit="1" customWidth="1"/>
    <col min="7" max="7" width="14.90625" style="15" bestFit="1" customWidth="1"/>
    <col min="8" max="8" width="12.54296875" style="61" customWidth="1"/>
    <col min="9" max="9" width="14.81640625" style="36" customWidth="1"/>
    <col min="10" max="10" width="13.81640625" style="4" bestFit="1" customWidth="1"/>
    <col min="11" max="11" width="12.1796875" style="4" bestFit="1" customWidth="1"/>
    <col min="12" max="13" width="10.81640625" style="4"/>
    <col min="14" max="14" width="20.81640625" style="4" bestFit="1" customWidth="1"/>
    <col min="15" max="16384" width="10.81640625" style="4"/>
  </cols>
  <sheetData>
    <row r="1" spans="2:10" hidden="1" x14ac:dyDescent="0.25">
      <c r="B1" s="4"/>
      <c r="C1" s="62">
        <f>SUM(C4:C100)*'Prioritization Criteria Weights'!$F$4</f>
        <v>0</v>
      </c>
      <c r="D1" s="62">
        <f>SUM(D4:D100)*'Prioritization Criteria Weights'!$F$5</f>
        <v>0</v>
      </c>
      <c r="E1" s="62">
        <f>SUM(E4:E100)*'Prioritization Criteria Weights'!$F$6</f>
        <v>0</v>
      </c>
      <c r="F1" s="62">
        <f>SUM(F4:F100)*'Prioritization Criteria Weights'!$F$7</f>
        <v>0</v>
      </c>
      <c r="G1" s="64">
        <f>SUM(G4:G100)</f>
        <v>0</v>
      </c>
      <c r="H1" s="64">
        <f>SUM(H4:H100)</f>
        <v>0</v>
      </c>
      <c r="I1" s="4"/>
    </row>
    <row r="2" spans="2:10" ht="15" thickBot="1" x14ac:dyDescent="0.3">
      <c r="B2" s="4"/>
      <c r="C2" s="62"/>
      <c r="D2" s="62"/>
      <c r="E2" s="62"/>
      <c r="F2" s="62"/>
      <c r="G2" s="64"/>
      <c r="H2" s="64"/>
      <c r="I2" s="4"/>
    </row>
    <row r="3" spans="2:10" ht="15" customHeight="1" thickBot="1" x14ac:dyDescent="0.3">
      <c r="B3" s="85" t="s">
        <v>26</v>
      </c>
      <c r="C3" s="77" t="s">
        <v>20</v>
      </c>
      <c r="D3" s="78"/>
      <c r="E3" s="79"/>
      <c r="F3" s="80"/>
      <c r="G3" s="81" t="s">
        <v>31</v>
      </c>
      <c r="H3" s="83" t="s">
        <v>19</v>
      </c>
      <c r="I3" s="83" t="s">
        <v>33</v>
      </c>
      <c r="J3" s="8"/>
    </row>
    <row r="4" spans="2:10" ht="15" thickBot="1" x14ac:dyDescent="0.3">
      <c r="B4" s="86"/>
      <c r="C4" s="10" t="s">
        <v>7</v>
      </c>
      <c r="D4" s="11" t="s">
        <v>35</v>
      </c>
      <c r="E4" s="12" t="s">
        <v>30</v>
      </c>
      <c r="F4" s="12" t="s">
        <v>8</v>
      </c>
      <c r="G4" s="82"/>
      <c r="H4" s="84"/>
      <c r="I4" s="84"/>
      <c r="J4" s="8"/>
    </row>
    <row r="5" spans="2:10" x14ac:dyDescent="0.25">
      <c r="C5" s="37"/>
      <c r="D5" s="37"/>
      <c r="E5" s="37"/>
      <c r="F5" s="37"/>
      <c r="G5" s="14"/>
      <c r="H5" s="14"/>
      <c r="I5" s="63" t="str">
        <f>IF(B5="","",((((C5*'Prioritization Criteria Weights'!$F$4)+('Processes List'!D5*'Prioritization Criteria Weights'!$F$5)+('Processes List'!E5*'Prioritization Criteria Weights'!$F$6)-('Processes List'!F5*'Prioritization Criteria Weights'!$F$7))/($C$1+$D$1+$E$1-$F$1))*'Prioritization Criteria Weights'!$C$8)+((1-(G5/$G$1))*'Prioritization Criteria Weights'!$C$9)+((1-(H5/$H$1))*'Prioritization Criteria Weights'!$C$10))</f>
        <v/>
      </c>
      <c r="J5" s="69"/>
    </row>
    <row r="6" spans="2:10" x14ac:dyDescent="0.25">
      <c r="C6" s="38"/>
      <c r="D6" s="38"/>
      <c r="E6" s="38"/>
      <c r="F6" s="38"/>
      <c r="G6" s="16"/>
      <c r="H6" s="14"/>
      <c r="I6" s="63" t="str">
        <f>IF(B6="","",((((C6*'Prioritization Criteria Weights'!$F$4)+('Processes List'!D6*'Prioritization Criteria Weights'!$F$5)+('Processes List'!E6*'Prioritization Criteria Weights'!$F$6)-('Processes List'!F6*'Prioritization Criteria Weights'!$F$7))/($C$1+$D$1+$E$1-$F$1))*'Prioritization Criteria Weights'!$C$8)+((1-(G6/$G$1))*'Prioritization Criteria Weights'!$C$9)+((1-(H6/$H$1))*'Prioritization Criteria Weights'!$C$10))</f>
        <v/>
      </c>
      <c r="J6" s="8"/>
    </row>
    <row r="7" spans="2:10" x14ac:dyDescent="0.25">
      <c r="B7" s="32"/>
      <c r="C7" s="38"/>
      <c r="D7" s="38"/>
      <c r="E7" s="38"/>
      <c r="F7" s="38"/>
      <c r="G7" s="16"/>
      <c r="H7" s="14"/>
      <c r="I7" s="63" t="str">
        <f>IF(B7="","",((((C7*'Prioritization Criteria Weights'!$F$4)+('Processes List'!D7*'Prioritization Criteria Weights'!$F$5)+('Processes List'!E7*'Prioritization Criteria Weights'!$F$6)-('Processes List'!F7*'Prioritization Criteria Weights'!$F$7))/($C$1+$D$1+$E$1-$F$1))*'Prioritization Criteria Weights'!$C$8)+((1-(G7/$G$1))*'Prioritization Criteria Weights'!$C$9)+((1-(H7/$H$1))*'Prioritization Criteria Weights'!$C$10))</f>
        <v/>
      </c>
      <c r="J7" s="8"/>
    </row>
    <row r="8" spans="2:10" x14ac:dyDescent="0.25">
      <c r="C8" s="38"/>
      <c r="D8" s="38"/>
      <c r="E8" s="38"/>
      <c r="F8" s="38"/>
      <c r="G8" s="16"/>
      <c r="H8" s="14"/>
      <c r="I8" s="63" t="str">
        <f>IF(B8="","",((((C8*'Prioritization Criteria Weights'!$F$4)+('Processes List'!D8*'Prioritization Criteria Weights'!$F$5)+('Processes List'!E8*'Prioritization Criteria Weights'!$F$6)-('Processes List'!F8*'Prioritization Criteria Weights'!$F$7))/($C$1+$D$1+$E$1-$F$1))*'Prioritization Criteria Weights'!$C$8)+((1-(G8/$G$1))*'Prioritization Criteria Weights'!$C$9)+((1-(H8/$H$1))*'Prioritization Criteria Weights'!$C$10))</f>
        <v/>
      </c>
      <c r="J8" s="8"/>
    </row>
    <row r="9" spans="2:10" x14ac:dyDescent="0.25">
      <c r="B9" s="32"/>
      <c r="C9" s="38"/>
      <c r="D9" s="38"/>
      <c r="E9" s="38"/>
      <c r="F9" s="38"/>
      <c r="G9" s="16"/>
      <c r="H9" s="14"/>
      <c r="I9" s="63" t="str">
        <f>IF(B9="","",((((C9*'Prioritization Criteria Weights'!$F$4)+('Processes List'!D9*'Prioritization Criteria Weights'!$F$5)+('Processes List'!E9*'Prioritization Criteria Weights'!$F$6)-('Processes List'!F9*'Prioritization Criteria Weights'!$F$7))/($C$1+$D$1+$E$1-$F$1))*'Prioritization Criteria Weights'!$C$8)+((1-(G9/$G$1))*'Prioritization Criteria Weights'!$C$9)+((1-(H9/$H$1))*'Prioritization Criteria Weights'!$C$10))</f>
        <v/>
      </c>
    </row>
    <row r="10" spans="2:10" x14ac:dyDescent="0.25">
      <c r="C10" s="38"/>
      <c r="D10" s="38"/>
      <c r="E10" s="38"/>
      <c r="F10" s="38"/>
      <c r="G10" s="16"/>
      <c r="H10" s="14"/>
      <c r="I10" s="63" t="str">
        <f>IF(B10="","",((((C10*'Prioritization Criteria Weights'!$F$4)+('Processes List'!D10*'Prioritization Criteria Weights'!$F$5)+('Processes List'!E10*'Prioritization Criteria Weights'!$F$6)-('Processes List'!F10*'Prioritization Criteria Weights'!$F$7))/($C$1+$D$1+$E$1-$F$1))*'Prioritization Criteria Weights'!$C$8)+((1-(G10/$G$1))*'Prioritization Criteria Weights'!$C$9)+((1-(H10/$H$1))*'Prioritization Criteria Weights'!$C$10))</f>
        <v/>
      </c>
    </row>
    <row r="11" spans="2:10" x14ac:dyDescent="0.25">
      <c r="B11" s="32"/>
      <c r="C11" s="38"/>
      <c r="D11" s="38"/>
      <c r="E11" s="38"/>
      <c r="F11" s="38"/>
      <c r="G11" s="16"/>
      <c r="H11" s="14"/>
      <c r="I11" s="63" t="str">
        <f>IF(B11="","",((((C11*'Prioritization Criteria Weights'!$F$4)+('Processes List'!D11*'Prioritization Criteria Weights'!$F$5)+('Processes List'!E11*'Prioritization Criteria Weights'!$F$6)-('Processes List'!F11*'Prioritization Criteria Weights'!$F$7))/($C$1+$D$1+$E$1-$F$1))*'Prioritization Criteria Weights'!$C$8)+((1-(G11/$G$1))*'Prioritization Criteria Weights'!$C$9)+((1-(H11/$H$1))*'Prioritization Criteria Weights'!$C$10))</f>
        <v/>
      </c>
    </row>
    <row r="12" spans="2:10" x14ac:dyDescent="0.25">
      <c r="B12" s="32"/>
      <c r="C12" s="17"/>
      <c r="D12" s="17"/>
      <c r="E12" s="17"/>
      <c r="F12" s="17"/>
      <c r="G12" s="16"/>
      <c r="H12" s="60"/>
      <c r="I12" s="35"/>
    </row>
    <row r="13" spans="2:10" x14ac:dyDescent="0.25">
      <c r="B13" s="32"/>
      <c r="C13" s="17"/>
      <c r="D13" s="17"/>
      <c r="E13" s="17"/>
      <c r="F13" s="17"/>
      <c r="G13" s="16"/>
      <c r="H13" s="60"/>
      <c r="I13" s="35"/>
    </row>
    <row r="14" spans="2:10" x14ac:dyDescent="0.25">
      <c r="C14" s="17"/>
      <c r="D14" s="17"/>
      <c r="E14" s="17"/>
      <c r="F14" s="17"/>
      <c r="G14" s="16"/>
      <c r="H14" s="60"/>
      <c r="I14" s="35"/>
    </row>
    <row r="15" spans="2:10" x14ac:dyDescent="0.25">
      <c r="C15" s="17"/>
      <c r="D15" s="17"/>
      <c r="E15" s="17"/>
      <c r="F15" s="17"/>
      <c r="G15" s="16"/>
      <c r="H15" s="60"/>
      <c r="I15" s="35"/>
    </row>
    <row r="16" spans="2:10" x14ac:dyDescent="0.25">
      <c r="C16" s="17"/>
      <c r="D16" s="17"/>
      <c r="E16" s="17"/>
      <c r="F16" s="17"/>
      <c r="G16" s="16"/>
      <c r="H16" s="60"/>
      <c r="I16" s="35"/>
    </row>
  </sheetData>
  <mergeCells count="5">
    <mergeCell ref="C3:F3"/>
    <mergeCell ref="G3:G4"/>
    <mergeCell ref="I3:I4"/>
    <mergeCell ref="B3:B4"/>
    <mergeCell ref="H3:H4"/>
  </mergeCell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'Prioritization Criteria Weights'!$G$12:$G$20</xm:f>
          </x14:formula1>
          <xm:sqref>G5:G1048576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I9"/>
  <sheetViews>
    <sheetView showGridLines="0" workbookViewId="0">
      <selection activeCell="B3" sqref="B3"/>
    </sheetView>
  </sheetViews>
  <sheetFormatPr defaultColWidth="10.81640625" defaultRowHeight="14.5" x14ac:dyDescent="0.25"/>
  <cols>
    <col min="1" max="1" width="3.7265625" style="4" customWidth="1"/>
    <col min="2" max="2" width="19.453125" style="45" bestFit="1" customWidth="1"/>
    <col min="3" max="3" width="19" style="58" bestFit="1" customWidth="1"/>
    <col min="4" max="4" width="12.54296875" style="58" bestFit="1" customWidth="1"/>
    <col min="5" max="5" width="16.7265625" style="58" hidden="1" customWidth="1"/>
    <col min="6" max="6" width="9.1796875" style="59" hidden="1" customWidth="1"/>
    <col min="7" max="7" width="8.54296875" style="58" hidden="1" customWidth="1"/>
    <col min="8" max="8" width="12" style="58" hidden="1" customWidth="1"/>
    <col min="9" max="9" width="2.81640625" style="4" hidden="1" customWidth="1"/>
    <col min="10" max="16384" width="10.81640625" style="4"/>
  </cols>
  <sheetData>
    <row r="1" spans="2:9" ht="15" thickBot="1" x14ac:dyDescent="0.3">
      <c r="B1" s="8"/>
      <c r="C1" s="4"/>
      <c r="D1" s="4"/>
      <c r="E1" s="4"/>
      <c r="F1" s="48"/>
      <c r="G1" s="4"/>
      <c r="H1" s="4"/>
    </row>
    <row r="2" spans="2:9" ht="15" thickBot="1" x14ac:dyDescent="0.3">
      <c r="B2" s="39" t="s">
        <v>25</v>
      </c>
      <c r="C2" s="40" t="s">
        <v>26</v>
      </c>
      <c r="D2" s="41" t="s">
        <v>3</v>
      </c>
      <c r="E2" s="39" t="s">
        <v>20</v>
      </c>
      <c r="F2" s="46" t="s">
        <v>27</v>
      </c>
      <c r="G2" s="40" t="s">
        <v>28</v>
      </c>
      <c r="H2" s="47" t="s">
        <v>29</v>
      </c>
    </row>
    <row r="3" spans="2:9" x14ac:dyDescent="0.25">
      <c r="B3" s="42">
        <v>1</v>
      </c>
      <c r="C3" s="13" t="s">
        <v>9</v>
      </c>
      <c r="D3" s="33">
        <v>3</v>
      </c>
      <c r="E3" s="32">
        <f>(('Processes List'!C5*'Prioritization Criteria Weights'!$F$4)+('Processes List'!D5*'Prioritization Criteria Weights'!$F$5)+('Processes List'!F5*'Prioritization Criteria Weights'!$F$6))</f>
        <v>0</v>
      </c>
      <c r="F3" s="49" t="e">
        <f>VLOOKUP('Processes List'!G5,'Prioritization Criteria Weights'!$F$11:$H$16,3)</f>
        <v>#N/A</v>
      </c>
      <c r="G3" s="13" t="e">
        <f t="shared" ref="G3:G9" si="0">I3/SUM(I:I)</f>
        <v>#VALUE!</v>
      </c>
      <c r="H3" s="50" t="e">
        <f>((E3*'Prioritization Criteria Weights'!$C$8)/(F3*'Prioritization Criteria Weights'!$C$9))*'Prioritization Criteria Weights'!$C$10*G3</f>
        <v>#N/A</v>
      </c>
      <c r="I3" s="51" t="e">
        <f>MAX('Processes List'!I:I)-'Processes List'!I5+MIN('Processes List'!I:I)</f>
        <v>#VALUE!</v>
      </c>
    </row>
    <row r="4" spans="2:9" x14ac:dyDescent="0.25">
      <c r="B4" s="43">
        <v>2</v>
      </c>
      <c r="C4" s="15" t="s">
        <v>11</v>
      </c>
      <c r="D4" s="35">
        <v>5</v>
      </c>
      <c r="E4" s="34">
        <f>(('Processes List'!C7*'Prioritization Criteria Weights'!$F$4)+('Processes List'!D7*'Prioritization Criteria Weights'!$F$5)+('Processes List'!F7*'Prioritization Criteria Weights'!$F$6))</f>
        <v>0</v>
      </c>
      <c r="F4" s="52" t="e">
        <f>VLOOKUP('Processes List'!G7,'Prioritization Criteria Weights'!$F$11:$H$16,3)</f>
        <v>#N/A</v>
      </c>
      <c r="G4" s="15" t="e">
        <f t="shared" si="0"/>
        <v>#VALUE!</v>
      </c>
      <c r="H4" s="36" t="e">
        <f>((E4*'Prioritization Criteria Weights'!$C$8)/(F4*'Prioritization Criteria Weights'!$C$9))*'Prioritization Criteria Weights'!$C$10*G4</f>
        <v>#N/A</v>
      </c>
      <c r="I4" s="51" t="e">
        <f>MAX('Processes List'!I:I)-'Processes List'!I7+MIN('Processes List'!I:I)</f>
        <v>#VALUE!</v>
      </c>
    </row>
    <row r="5" spans="2:9" x14ac:dyDescent="0.25">
      <c r="B5" s="43">
        <v>3</v>
      </c>
      <c r="C5" s="15" t="s">
        <v>10</v>
      </c>
      <c r="D5" s="35">
        <v>4</v>
      </c>
      <c r="E5" s="34">
        <f>(('Processes List'!C6*'Prioritization Criteria Weights'!$F$4)+('Processes List'!D6*'Prioritization Criteria Weights'!$F$5)+('Processes List'!F6*'Prioritization Criteria Weights'!$F$6))</f>
        <v>0</v>
      </c>
      <c r="F5" s="52" t="e">
        <f>VLOOKUP('Processes List'!G6,'Prioritization Criteria Weights'!$F$11:$H$16,3)</f>
        <v>#N/A</v>
      </c>
      <c r="G5" s="15" t="e">
        <f t="shared" si="0"/>
        <v>#VALUE!</v>
      </c>
      <c r="H5" s="36" t="e">
        <f>((E5*'Prioritization Criteria Weights'!$C$8)/(F5*'Prioritization Criteria Weights'!$C$9))*'Prioritization Criteria Weights'!$C$10*G5</f>
        <v>#N/A</v>
      </c>
      <c r="I5" s="51" t="e">
        <f>MAX('Processes List'!I:I)-'Processes List'!I6+MIN('Processes List'!I:I)</f>
        <v>#VALUE!</v>
      </c>
    </row>
    <row r="6" spans="2:9" x14ac:dyDescent="0.25">
      <c r="B6" s="43">
        <v>4</v>
      </c>
      <c r="C6" s="15" t="s">
        <v>14</v>
      </c>
      <c r="D6" s="35">
        <v>3</v>
      </c>
      <c r="E6" s="34">
        <f>(('Processes List'!C10*'Prioritization Criteria Weights'!$F$4)+('Processes List'!D10*'Prioritization Criteria Weights'!$F$5)+('Processes List'!F10*'Prioritization Criteria Weights'!$F$6))</f>
        <v>0</v>
      </c>
      <c r="F6" s="52" t="e">
        <f>VLOOKUP('Processes List'!G10,'Prioritization Criteria Weights'!$F$11:$H$16,3)</f>
        <v>#N/A</v>
      </c>
      <c r="G6" s="15" t="e">
        <f t="shared" si="0"/>
        <v>#VALUE!</v>
      </c>
      <c r="H6" s="36" t="e">
        <f>((E6*'Prioritization Criteria Weights'!$C$8)/(F6*'Prioritization Criteria Weights'!$C$9))*'Prioritization Criteria Weights'!$C$10*G6</f>
        <v>#N/A</v>
      </c>
      <c r="I6" s="51" t="e">
        <f>MAX('Processes List'!I:I)-'Processes List'!I10+MIN('Processes List'!I:I)</f>
        <v>#VALUE!</v>
      </c>
    </row>
    <row r="7" spans="2:9" x14ac:dyDescent="0.25">
      <c r="B7" s="43">
        <v>5</v>
      </c>
      <c r="C7" s="15" t="s">
        <v>15</v>
      </c>
      <c r="D7" s="35">
        <v>1</v>
      </c>
      <c r="E7" s="34">
        <f>(('Processes List'!C11*'Prioritization Criteria Weights'!$F$4)+('Processes List'!D11*'Prioritization Criteria Weights'!$F$5)+('Processes List'!F11*'Prioritization Criteria Weights'!$F$6))</f>
        <v>0</v>
      </c>
      <c r="F7" s="52" t="e">
        <f>VLOOKUP('Processes List'!G11,'Prioritization Criteria Weights'!$F$11:$H$16,3)</f>
        <v>#N/A</v>
      </c>
      <c r="G7" s="15" t="e">
        <f t="shared" si="0"/>
        <v>#VALUE!</v>
      </c>
      <c r="H7" s="36" t="e">
        <f>((E7*'Prioritization Criteria Weights'!$C$8)/(F7*'Prioritization Criteria Weights'!$C$9))*'Prioritization Criteria Weights'!$C$10*G7</f>
        <v>#N/A</v>
      </c>
      <c r="I7" s="51" t="e">
        <f>MAX('Processes List'!I:I)-'Processes List'!I11+MIN('Processes List'!I:I)</f>
        <v>#VALUE!</v>
      </c>
    </row>
    <row r="8" spans="2:9" x14ac:dyDescent="0.25">
      <c r="B8" s="43">
        <v>6</v>
      </c>
      <c r="C8" s="15" t="s">
        <v>13</v>
      </c>
      <c r="D8" s="35">
        <v>2</v>
      </c>
      <c r="E8" s="34">
        <f>(('Processes List'!C9*'Prioritization Criteria Weights'!$F$4)+('Processes List'!D9*'Prioritization Criteria Weights'!$F$5)+('Processes List'!F9*'Prioritization Criteria Weights'!$F$6))</f>
        <v>0</v>
      </c>
      <c r="F8" s="52" t="e">
        <f>VLOOKUP('Processes List'!G9,'Prioritization Criteria Weights'!$F$11:$H$16,3)</f>
        <v>#N/A</v>
      </c>
      <c r="G8" s="15" t="e">
        <f t="shared" si="0"/>
        <v>#VALUE!</v>
      </c>
      <c r="H8" s="36" t="e">
        <f>((E8*'Prioritization Criteria Weights'!$C$8)/(F8*'Prioritization Criteria Weights'!$C$9))*'Prioritization Criteria Weights'!$C$10*G8</f>
        <v>#N/A</v>
      </c>
      <c r="I8" s="51" t="e">
        <f>MAX('Processes List'!I:I)-'Processes List'!I9+MIN('Processes List'!I:I)</f>
        <v>#VALUE!</v>
      </c>
    </row>
    <row r="9" spans="2:9" ht="15" thickBot="1" x14ac:dyDescent="0.3">
      <c r="B9" s="44">
        <v>7</v>
      </c>
      <c r="C9" s="53" t="s">
        <v>12</v>
      </c>
      <c r="D9" s="54">
        <v>1</v>
      </c>
      <c r="E9" s="55">
        <f>(('Processes List'!C8*'Prioritization Criteria Weights'!$F$4)+('Processes List'!D8*'Prioritization Criteria Weights'!$F$5)+('Processes List'!F8*'Prioritization Criteria Weights'!$F$6))</f>
        <v>0</v>
      </c>
      <c r="F9" s="56" t="e">
        <f>VLOOKUP('Processes List'!G8,'Prioritization Criteria Weights'!$F$11:$H$16,3)</f>
        <v>#N/A</v>
      </c>
      <c r="G9" s="53" t="e">
        <f t="shared" si="0"/>
        <v>#VALUE!</v>
      </c>
      <c r="H9" s="57" t="e">
        <f>((E9*'Prioritization Criteria Weights'!$C$8)/(F9*'Prioritization Criteria Weights'!$C$9))*'Prioritization Criteria Weights'!$C$10*G9</f>
        <v>#N/A</v>
      </c>
      <c r="I9" s="51" t="e">
        <f>MAX('Processes List'!I:I)-'Processes List'!I8+MIN('Processes List'!I:I)</f>
        <v>#VALUE!</v>
      </c>
    </row>
  </sheetData>
  <sortState ref="C4:I10">
    <sortCondition descending="1" ref="H4:H10"/>
    <sortCondition descending="1" ref="E4:E10"/>
  </sortState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Read Me</vt:lpstr>
      <vt:lpstr>Prioritization Criteria Weights</vt:lpstr>
      <vt:lpstr>Processes List</vt:lpstr>
      <vt:lpstr>Weighted List</vt:lpstr>
      <vt:lpstr>Procesos</vt:lpstr>
    </vt:vector>
  </TitlesOfParts>
  <Company>Universidad de La Sabana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Area de Informatica</dc:creator>
  <cp:lastModifiedBy>Indra</cp:lastModifiedBy>
  <cp:lastPrinted>2006-06-28T22:44:37Z</cp:lastPrinted>
  <dcterms:created xsi:type="dcterms:W3CDTF">1999-09-22T12:25:28Z</dcterms:created>
  <dcterms:modified xsi:type="dcterms:W3CDTF">2020-01-20T07:32:50Z</dcterms:modified>
</cp:coreProperties>
</file>